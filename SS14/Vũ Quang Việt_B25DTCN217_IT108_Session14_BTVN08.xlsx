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<sst xmlns="http://schemas.openxmlformats.org/spreadsheetml/2006/main" count="21" uniqueCount="18">
  <si>
    <t>Bảng điểm học kỳ I</t>
  </si>
  <si>
    <t>Họ tên</t>
  </si>
  <si>
    <t>Toán</t>
  </si>
  <si>
    <t>Văn</t>
  </si>
  <si>
    <t>Anh</t>
  </si>
  <si>
    <t>Trung bình</t>
  </si>
  <si>
    <t>Xếp loại</t>
  </si>
  <si>
    <t>Nguyễn Văn A</t>
  </si>
  <si>
    <t>Trần Thị B</t>
  </si>
  <si>
    <t>Lê Văn C</t>
  </si>
  <si>
    <t>Phạm Thị D</t>
  </si>
  <si>
    <t>Hoàng Văn E</t>
  </si>
  <si>
    <t>Vũ Thị F</t>
  </si>
  <si>
    <t>Bùi Văn G</t>
  </si>
  <si>
    <t>Nguyễn Thị H</t>
  </si>
  <si>
    <t>Môn</t>
  </si>
  <si>
    <t>Max</t>
  </si>
  <si>
    <t>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</si>
</sst>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4">
        <v>8.5</v>
      </c>
      <c r="C4" s="4">
        <v>7.0</v>
      </c>
      <c r="D4" s="4">
        <v>8.0</v>
      </c>
      <c r="E4" s="4">
        <f t="shared" ref="E4:E11" si="1">AVERAGE(B4:D4)</f>
        <v>7.833333333</v>
      </c>
      <c r="F4" s="3" t="str">
        <f t="shared" ref="F4:F11" si="2">IF(E4&gt;8, "Giỏi", IF(E4&gt;6.5, "Khá", IF(E4&gt;5, "Trung bình", "Yếu")))</f>
        <v>Khá</v>
      </c>
    </row>
    <row r="5">
      <c r="A5" s="3" t="s">
        <v>8</v>
      </c>
      <c r="B5" s="4">
        <v>6.0</v>
      </c>
      <c r="C5" s="4">
        <v>6.5</v>
      </c>
      <c r="D5" s="4">
        <v>7.0</v>
      </c>
      <c r="E5" s="4">
        <f t="shared" si="1"/>
        <v>6.5</v>
      </c>
      <c r="F5" s="3" t="str">
        <f t="shared" si="2"/>
        <v>Trung bình</v>
      </c>
    </row>
    <row r="6">
      <c r="A6" s="3" t="s">
        <v>9</v>
      </c>
      <c r="B6" s="4">
        <v>9.0</v>
      </c>
      <c r="C6" s="4">
        <v>8.0</v>
      </c>
      <c r="D6" s="4">
        <v>9.5</v>
      </c>
      <c r="E6" s="4">
        <f t="shared" si="1"/>
        <v>8.833333333</v>
      </c>
      <c r="F6" s="3" t="str">
        <f t="shared" si="2"/>
        <v>Giỏi</v>
      </c>
    </row>
    <row r="7">
      <c r="A7" s="3" t="s">
        <v>10</v>
      </c>
      <c r="B7" s="4">
        <v>5.0</v>
      </c>
      <c r="C7" s="4">
        <v>6.0</v>
      </c>
      <c r="D7" s="4">
        <v>5.5</v>
      </c>
      <c r="E7" s="4">
        <f t="shared" si="1"/>
        <v>5.5</v>
      </c>
      <c r="F7" s="3" t="str">
        <f t="shared" si="2"/>
        <v>Trung bình</v>
      </c>
    </row>
    <row r="8">
      <c r="A8" s="3" t="s">
        <v>11</v>
      </c>
      <c r="B8" s="4">
        <v>7.0</v>
      </c>
      <c r="C8" s="4">
        <v>7.5</v>
      </c>
      <c r="D8" s="4">
        <v>8.0</v>
      </c>
      <c r="E8" s="4">
        <f t="shared" si="1"/>
        <v>7.5</v>
      </c>
      <c r="F8" s="3" t="str">
        <f t="shared" si="2"/>
        <v>Khá</v>
      </c>
    </row>
    <row r="9">
      <c r="A9" s="3" t="s">
        <v>12</v>
      </c>
      <c r="B9" s="4">
        <v>8.0</v>
      </c>
      <c r="C9" s="4">
        <v>8.5</v>
      </c>
      <c r="D9" s="4">
        <v>8.0</v>
      </c>
      <c r="E9" s="4">
        <f t="shared" si="1"/>
        <v>8.166666667</v>
      </c>
      <c r="F9" s="3" t="str">
        <f t="shared" si="2"/>
        <v>Giỏi</v>
      </c>
    </row>
    <row r="10">
      <c r="A10" s="3" t="s">
        <v>13</v>
      </c>
      <c r="B10" s="4">
        <v>4.5</v>
      </c>
      <c r="C10" s="4">
        <v>4.0</v>
      </c>
      <c r="D10" s="4">
        <v>6.0</v>
      </c>
      <c r="E10" s="4">
        <f t="shared" si="1"/>
        <v>4.833333333</v>
      </c>
      <c r="F10" s="3" t="str">
        <f t="shared" si="2"/>
        <v>Yếu</v>
      </c>
    </row>
    <row r="11">
      <c r="A11" s="3" t="s">
        <v>14</v>
      </c>
      <c r="B11" s="4">
        <v>9.5</v>
      </c>
      <c r="C11" s="4">
        <v>9.0</v>
      </c>
      <c r="D11" s="4">
        <v>9.0</v>
      </c>
      <c r="E11" s="4">
        <f t="shared" si="1"/>
        <v>9.166666667</v>
      </c>
      <c r="F11" s="3" t="str">
        <f t="shared" si="2"/>
        <v>Giỏi</v>
      </c>
    </row>
    <row r="13">
      <c r="A13" s="2" t="s">
        <v>15</v>
      </c>
      <c r="B13" s="2" t="s">
        <v>16</v>
      </c>
      <c r="C13" s="2" t="s">
        <v>17</v>
      </c>
    </row>
    <row r="14">
      <c r="A14" s="3" t="s">
        <v>2</v>
      </c>
      <c r="B14" s="5">
        <f>MAX(B4:B11)</f>
        <v>9.5</v>
      </c>
      <c r="C14" s="5">
        <f>MIN(B4:B11)</f>
        <v>4.5</v>
      </c>
    </row>
    <row r="15">
      <c r="A15" s="3" t="s">
        <v>3</v>
      </c>
      <c r="B15" s="5">
        <f>MAX(C4:C11)</f>
        <v>9</v>
      </c>
      <c r="C15" s="5">
        <f>MIN(C4:C11)</f>
        <v>4</v>
      </c>
    </row>
    <row r="16">
      <c r="A16" s="3" t="s">
        <v>4</v>
      </c>
      <c r="B16" s="5">
        <f>MAX(D4:D11)</f>
        <v>9.5</v>
      </c>
      <c r="C16" s="5">
        <f>MIN(D4:D11)</f>
        <v>5.5</v>
      </c>
    </row>
  </sheetData>
  <mergeCells count="1">
    <mergeCell ref="A1:F2"/>
  </mergeCells>
  <conditionalFormatting sqref="F4:F11">
    <cfRule type="cellIs" dxfId="0" priority="1" operator="equal">
      <formula>"Giỏi"</formula>
    </cfRule>
  </conditionalFormatting>
  <conditionalFormatting sqref="F4:F11">
    <cfRule type="cellIs" dxfId="1" priority="2" operator="equal">
      <formula>"Khá"</formula>
    </cfRule>
  </conditionalFormatting>
  <conditionalFormatting sqref="F4:F11">
    <cfRule type="cellIs" dxfId="2" priority="3" operator="equal">
      <formula>"Trung bình"</formula>
    </cfRule>
  </conditionalFormatting>
  <conditionalFormatting sqref="F10">
    <cfRule type="cellIs" dxfId="3" priority="4" operator="equal">
      <formula>"Yếu"</formula>
    </cfRule>
  </conditionalFormatting>
  <drawing r:id="rId1"/>
</worksheet>
</file>