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wnloads\SS14\"/>
    </mc:Choice>
  </mc:AlternateContent>
  <xr:revisionPtr revIDLastSave="0" documentId="13_ncr:1_{263286EF-5636-47A8-9010-284D3B740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4" i="1"/>
  <c r="B22" i="1"/>
  <c r="B20" i="1"/>
  <c r="B23" i="1" s="1"/>
</calcChain>
</file>

<file path=xl/sharedStrings.xml><?xml version="1.0" encoding="utf-8"?>
<sst xmlns="http://schemas.openxmlformats.org/spreadsheetml/2006/main" count="42" uniqueCount="26">
  <si>
    <t>Chi tiêu cá nhân tháng này</t>
  </si>
  <si>
    <t>Ngày</t>
  </si>
  <si>
    <t>Danh mục</t>
  </si>
  <si>
    <t>Mô tả</t>
  </si>
  <si>
    <t>Số tiền (VNĐ)</t>
  </si>
  <si>
    <t>Ăn uống</t>
  </si>
  <si>
    <t>Cà phê sáng</t>
  </si>
  <si>
    <t>Di chuyển</t>
  </si>
  <si>
    <t>Xe bus đi học</t>
  </si>
  <si>
    <t>Giải trí</t>
  </si>
  <si>
    <t>Mua vé xem phim</t>
  </si>
  <si>
    <t>Bữa trưa cơm tấm</t>
  </si>
  <si>
    <t>Học tập</t>
  </si>
  <si>
    <t>Mua sách tham khảo</t>
  </si>
  <si>
    <t>Trà sữa với bạn</t>
  </si>
  <si>
    <t>Đổ xăng xe máy</t>
  </si>
  <si>
    <t>Bữa tối phở bò</t>
  </si>
  <si>
    <t>Chơi game online</t>
  </si>
  <si>
    <t>In tài liệu</t>
  </si>
  <si>
    <t>Ăn vặt (bánh tráng trộn)</t>
  </si>
  <si>
    <t>Gọi Grab đi học</t>
  </si>
  <si>
    <t>Mua gói Netflix</t>
  </si>
  <si>
    <t>Ăn lẩu với bạn</t>
  </si>
  <si>
    <t>Học phí khóa học online</t>
  </si>
  <si>
    <t>Tổng tiền</t>
  </si>
  <si>
    <t>Tổng chi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</si>
</sst>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[$ ₫]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2" fillId="2" borderId="1" xfId="0" applyFont="1" applyFill="1" applyBorder="1"/>
    <xf numFmtId="0" fontId="5" fillId="4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Tổng tiền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Tổng tiền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9D2-4853-95E6-EAFDED6C2C1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9D2-4853-95E6-EAFDED6C2C1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9D2-4853-95E6-EAFDED6C2C1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9D2-4853-95E6-EAFDED6C2C16}"/>
              </c:ext>
            </c:extLst>
          </c:dPt>
          <c:cat>
            <c:strRef>
              <c:f>Sheet1!$A$20:$A$23</c:f>
              <c:strCache>
                <c:ptCount val="4"/>
                <c:pt idx="0">
                  <c:v>Ăn uống</c:v>
                </c:pt>
                <c:pt idx="1">
                  <c:v>Di chuyển</c:v>
                </c:pt>
                <c:pt idx="2">
                  <c:v>Giải trí</c:v>
                </c:pt>
                <c:pt idx="3">
                  <c:v>Học tập</c:v>
                </c:pt>
              </c:strCache>
            </c:strRef>
          </c:cat>
          <c:val>
            <c:numRef>
              <c:f>Sheet1!$B$20:$B$23</c:f>
              <c:numCache>
                <c:formatCode>#,##0[$ ₫]</c:formatCode>
                <c:ptCount val="4"/>
                <c:pt idx="0">
                  <c:v>340000</c:v>
                </c:pt>
                <c:pt idx="1">
                  <c:v>122000</c:v>
                </c:pt>
                <c:pt idx="2">
                  <c:v>330000</c:v>
                </c:pt>
                <c:pt idx="3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D2-4853-95E6-EAFDED6C2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190500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2" max="2" width="15.33203125" customWidth="1"/>
    <col min="3" max="3" width="25" customWidth="1"/>
  </cols>
  <sheetData>
    <row r="1" spans="1:4" ht="15.75" customHeight="1" x14ac:dyDescent="0.3">
      <c r="A1" s="5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45667</v>
      </c>
      <c r="B3" s="7" t="s">
        <v>5</v>
      </c>
      <c r="C3" s="3" t="s">
        <v>6</v>
      </c>
      <c r="D3" s="4">
        <v>35000</v>
      </c>
    </row>
    <row r="4" spans="1:4" ht="13.2" x14ac:dyDescent="0.25">
      <c r="A4" s="2">
        <v>45667</v>
      </c>
      <c r="B4" s="8" t="s">
        <v>7</v>
      </c>
      <c r="C4" s="3" t="s">
        <v>8</v>
      </c>
      <c r="D4" s="4">
        <v>7000</v>
      </c>
    </row>
    <row r="5" spans="1:4" ht="13.2" x14ac:dyDescent="0.25">
      <c r="A5" s="2">
        <v>45698</v>
      </c>
      <c r="B5" s="10" t="s">
        <v>9</v>
      </c>
      <c r="C5" s="3" t="s">
        <v>10</v>
      </c>
      <c r="D5" s="4">
        <v>90000</v>
      </c>
    </row>
    <row r="6" spans="1:4" x14ac:dyDescent="0.25">
      <c r="A6" s="2">
        <v>45698</v>
      </c>
      <c r="B6" s="7" t="s">
        <v>5</v>
      </c>
      <c r="C6" s="3" t="s">
        <v>11</v>
      </c>
      <c r="D6" s="4">
        <v>40000</v>
      </c>
    </row>
    <row r="7" spans="1:4" ht="13.2" x14ac:dyDescent="0.25">
      <c r="A7" s="2">
        <v>45726</v>
      </c>
      <c r="B7" s="11" t="s">
        <v>12</v>
      </c>
      <c r="C7" s="3" t="s">
        <v>13</v>
      </c>
      <c r="D7" s="4">
        <v>120000</v>
      </c>
    </row>
    <row r="8" spans="1:4" x14ac:dyDescent="0.25">
      <c r="A8" s="2">
        <v>45726</v>
      </c>
      <c r="B8" s="7" t="s">
        <v>5</v>
      </c>
      <c r="C8" s="3" t="s">
        <v>14</v>
      </c>
      <c r="D8" s="4">
        <v>50000</v>
      </c>
    </row>
    <row r="9" spans="1:4" x14ac:dyDescent="0.25">
      <c r="A9" s="2">
        <v>45757</v>
      </c>
      <c r="B9" s="9" t="s">
        <v>7</v>
      </c>
      <c r="C9" s="3" t="s">
        <v>15</v>
      </c>
      <c r="D9" s="4">
        <v>80000</v>
      </c>
    </row>
    <row r="10" spans="1:4" x14ac:dyDescent="0.25">
      <c r="A10" s="2">
        <v>45757</v>
      </c>
      <c r="B10" s="7" t="s">
        <v>5</v>
      </c>
      <c r="C10" s="3" t="s">
        <v>16</v>
      </c>
      <c r="D10" s="4">
        <v>45000</v>
      </c>
    </row>
    <row r="11" spans="1:4" x14ac:dyDescent="0.25">
      <c r="A11" s="2">
        <v>45787</v>
      </c>
      <c r="B11" s="10" t="s">
        <v>9</v>
      </c>
      <c r="C11" s="3" t="s">
        <v>17</v>
      </c>
      <c r="D11" s="4">
        <v>60000</v>
      </c>
    </row>
    <row r="12" spans="1:4" x14ac:dyDescent="0.25">
      <c r="A12" s="2">
        <v>45787</v>
      </c>
      <c r="B12" s="11" t="s">
        <v>12</v>
      </c>
      <c r="C12" s="3" t="s">
        <v>18</v>
      </c>
      <c r="D12" s="4">
        <v>25000</v>
      </c>
    </row>
    <row r="13" spans="1:4" x14ac:dyDescent="0.25">
      <c r="A13" s="2">
        <v>45818</v>
      </c>
      <c r="B13" s="7" t="s">
        <v>5</v>
      </c>
      <c r="C13" s="3" t="s">
        <v>19</v>
      </c>
      <c r="D13" s="4">
        <v>20000</v>
      </c>
    </row>
    <row r="14" spans="1:4" ht="13.2" x14ac:dyDescent="0.25">
      <c r="A14" s="2">
        <v>45818</v>
      </c>
      <c r="B14" s="9" t="s">
        <v>7</v>
      </c>
      <c r="C14" s="3" t="s">
        <v>20</v>
      </c>
      <c r="D14" s="4">
        <v>35000</v>
      </c>
    </row>
    <row r="15" spans="1:4" x14ac:dyDescent="0.25">
      <c r="A15" s="2">
        <v>45848</v>
      </c>
      <c r="B15" s="10" t="s">
        <v>9</v>
      </c>
      <c r="C15" s="3" t="s">
        <v>21</v>
      </c>
      <c r="D15" s="4">
        <v>180000</v>
      </c>
    </row>
    <row r="16" spans="1:4" x14ac:dyDescent="0.25">
      <c r="A16" s="2">
        <v>45848</v>
      </c>
      <c r="B16" s="7" t="s">
        <v>5</v>
      </c>
      <c r="C16" s="3" t="s">
        <v>22</v>
      </c>
      <c r="D16" s="4">
        <v>150000</v>
      </c>
    </row>
    <row r="17" spans="1:4" x14ac:dyDescent="0.25">
      <c r="A17" s="2">
        <v>45879</v>
      </c>
      <c r="B17" s="11" t="s">
        <v>12</v>
      </c>
      <c r="C17" s="3" t="s">
        <v>23</v>
      </c>
      <c r="D17" s="4">
        <v>300000</v>
      </c>
    </row>
    <row r="19" spans="1:4" x14ac:dyDescent="0.25">
      <c r="A19" s="1" t="s">
        <v>2</v>
      </c>
      <c r="B19" s="1" t="s">
        <v>24</v>
      </c>
    </row>
    <row r="20" spans="1:4" x14ac:dyDescent="0.25">
      <c r="A20" s="3" t="s">
        <v>5</v>
      </c>
      <c r="B20" s="4">
        <f>SUMIF(B3:B17, "Ăn uống", D3:D17)</f>
        <v>340000</v>
      </c>
    </row>
    <row r="21" spans="1:4" x14ac:dyDescent="0.25">
      <c r="A21" s="3" t="s">
        <v>7</v>
      </c>
      <c r="B21" s="4">
        <f>SUMIF(B4:B18, "Di chuyển", D4:D18)</f>
        <v>122000</v>
      </c>
    </row>
    <row r="22" spans="1:4" x14ac:dyDescent="0.25">
      <c r="A22" s="3" t="s">
        <v>9</v>
      </c>
      <c r="B22" s="4">
        <f>SUMIF(B5:B19, "Giải trí", D5:D19)</f>
        <v>330000</v>
      </c>
    </row>
    <row r="23" spans="1:4" x14ac:dyDescent="0.25">
      <c r="A23" s="3" t="s">
        <v>12</v>
      </c>
      <c r="B23" s="4">
        <f>SUMIF(B6:B20, "Học tập", D6:D20)</f>
        <v>445000</v>
      </c>
    </row>
    <row r="24" spans="1:4" x14ac:dyDescent="0.25">
      <c r="A24" s="3" t="s">
        <v>25</v>
      </c>
      <c r="B24" s="4">
        <f>SUM(D3:D17)</f>
        <v>1237000</v>
      </c>
    </row>
  </sheetData>
  <mergeCells count="1">
    <mergeCell ref="A1:D1"/>
  </mergeCells>
  <conditionalFormatting sqref="B2:B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{A856B177-17EB-41EE-8BCE-C814B19B47A5}</x14:id>
        </ext>
      </extLst>
    </cfRule>
  </conditionalFormatting>
  <dataValidations count="1">
    <dataValidation type="list" allowBlank="1" showErrorMessage="1" sqref="B2:B17" xr:uid="{00000000-0002-0000-0000-000000000000}">
      <formula1>"Ăn uống,Di chuyển,Giải trí,Học tập"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56B177-17EB-41EE-8BCE-C814B19B47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2025-10-04T12:51:42Z</dcterms:modified>
</cp:coreProperties>
</file>